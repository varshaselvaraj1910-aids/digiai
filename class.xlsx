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803B19EB-09B1-49DA-B23C-ED7D724C32B2}" xr6:coauthVersionLast="47" xr6:coauthVersionMax="47" xr10:uidLastSave="{00000000-0000-0000-0000-000000000000}"/>
  <bookViews>
    <workbookView xWindow="-108" yWindow="-108" windowWidth="23256" windowHeight="12456" activeTab="1" xr2:uid="{32420420-05F4-4CEA-9125-4500A82D2CE8}"/>
  </bookViews>
  <sheets>
    <sheet name="Sheet2" sheetId="2" r:id="rId1"/>
    <sheet name="Sheet3" sheetId="3" r:id="rId2"/>
    <sheet name="Sheet1" sheetId="1" r:id="rId3"/>
  </sheets>
  <definedNames>
    <definedName name="Slicer_dept">#N/A</definedName>
    <definedName name="Slicer_stud_name">#N/A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1" l="1"/>
  <c r="J12" i="1"/>
  <c r="J3" i="1"/>
  <c r="J4" i="1"/>
  <c r="J5" i="1"/>
  <c r="J6" i="1"/>
  <c r="J7" i="1"/>
  <c r="J8" i="1"/>
  <c r="J9" i="1"/>
  <c r="J10" i="1"/>
  <c r="J11" i="1"/>
  <c r="J2" i="1"/>
  <c r="I11" i="1"/>
  <c r="I10" i="1"/>
  <c r="I9" i="1"/>
  <c r="I8" i="1"/>
  <c r="I7" i="1"/>
  <c r="I6" i="1"/>
  <c r="I5" i="1"/>
  <c r="I4" i="1"/>
  <c r="I3" i="1"/>
  <c r="I2" i="1"/>
</calcChain>
</file>

<file path=xl/sharedStrings.xml><?xml version="1.0" encoding="utf-8"?>
<sst xmlns="http://schemas.openxmlformats.org/spreadsheetml/2006/main" count="58" uniqueCount="36">
  <si>
    <t>s.no</t>
  </si>
  <si>
    <t>stud name</t>
  </si>
  <si>
    <t>dept</t>
  </si>
  <si>
    <t>math</t>
  </si>
  <si>
    <t>phy</t>
  </si>
  <si>
    <t>programming</t>
  </si>
  <si>
    <t>eng. Dawinng</t>
  </si>
  <si>
    <t>eng</t>
  </si>
  <si>
    <t>total</t>
  </si>
  <si>
    <t>avg</t>
  </si>
  <si>
    <t>result</t>
  </si>
  <si>
    <t>performance</t>
  </si>
  <si>
    <t>arun</t>
  </si>
  <si>
    <t>yamuna</t>
  </si>
  <si>
    <t>peter</t>
  </si>
  <si>
    <t>varsha</t>
  </si>
  <si>
    <t>jeff</t>
  </si>
  <si>
    <t>nirmal</t>
  </si>
  <si>
    <t>eee</t>
  </si>
  <si>
    <t>ece</t>
  </si>
  <si>
    <t>cce</t>
  </si>
  <si>
    <t>aids</t>
  </si>
  <si>
    <t>cse</t>
  </si>
  <si>
    <t>aiml</t>
  </si>
  <si>
    <t>anu</t>
  </si>
  <si>
    <t>priya</t>
  </si>
  <si>
    <t>ganga</t>
  </si>
  <si>
    <t>meera</t>
  </si>
  <si>
    <t>shashi</t>
  </si>
  <si>
    <t>pass</t>
  </si>
  <si>
    <t>Sum of s.no</t>
  </si>
  <si>
    <t>Row Labels</t>
  </si>
  <si>
    <t>Grand Total</t>
  </si>
  <si>
    <t>Sum of math</t>
  </si>
  <si>
    <t>Sum of phy</t>
  </si>
  <si>
    <t>Sum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</si>
</sst>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[class.xlsx]Sheet3!math</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s.no</c:v>
                </c:pt>
              </c:strCache>
            </c:strRef>
          </c:tx>
          <c:spPr>
            <a:solidFill>
              <a:schemeClr val="accent1"/>
            </a:solidFill>
            <a:ln>
              <a:noFill/>
            </a:ln>
            <a:effectLst/>
          </c:spPr>
          <c:invertIfNegative val="0"/>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Sheet3!$B$2:$B$19</c:f>
              <c:numCache>
                <c:formatCode>General</c:formatCode>
                <c:ptCount val="11"/>
                <c:pt idx="0">
                  <c:v>11</c:v>
                </c:pt>
                <c:pt idx="1">
                  <c:v>4</c:v>
                </c:pt>
                <c:pt idx="2">
                  <c:v>8</c:v>
                </c:pt>
                <c:pt idx="3">
                  <c:v>9</c:v>
                </c:pt>
                <c:pt idx="4">
                  <c:v>3</c:v>
                </c:pt>
                <c:pt idx="5">
                  <c:v>6</c:v>
                </c:pt>
                <c:pt idx="6">
                  <c:v>7</c:v>
                </c:pt>
                <c:pt idx="7">
                  <c:v>2</c:v>
                </c:pt>
                <c:pt idx="8">
                  <c:v>1</c:v>
                </c:pt>
                <c:pt idx="9">
                  <c:v>5</c:v>
                </c:pt>
                <c:pt idx="10">
                  <c:v>10</c:v>
                </c:pt>
              </c:numCache>
            </c:numRef>
          </c:val>
          <c:extLst>
            <c:ext xmlns:c16="http://schemas.microsoft.com/office/drawing/2014/chart" uri="{C3380CC4-5D6E-409C-BE32-E72D297353CC}">
              <c16:uniqueId val="{00000001-D452-4F4F-9E08-2A5D7677770C}"/>
            </c:ext>
          </c:extLst>
        </c:ser>
        <c:ser>
          <c:idx val="1"/>
          <c:order val="1"/>
          <c:tx>
            <c:strRef>
              <c:f>Sheet3!$C$1</c:f>
              <c:strCache>
                <c:ptCount val="1"/>
                <c:pt idx="0">
                  <c:v>Sum of total</c:v>
                </c:pt>
              </c:strCache>
            </c:strRef>
          </c:tx>
          <c:spPr>
            <a:solidFill>
              <a:schemeClr val="accent2"/>
            </a:solidFill>
            <a:ln>
              <a:noFill/>
            </a:ln>
            <a:effectLst/>
          </c:spPr>
          <c:invertIfNegative val="0"/>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Sheet3!$C$2:$C$19</c:f>
              <c:numCache>
                <c:formatCode>General</c:formatCode>
                <c:ptCount val="11"/>
                <c:pt idx="0">
                  <c:v>447</c:v>
                </c:pt>
                <c:pt idx="1">
                  <c:v>466</c:v>
                </c:pt>
                <c:pt idx="2">
                  <c:v>495</c:v>
                </c:pt>
                <c:pt idx="3">
                  <c:v>385</c:v>
                </c:pt>
                <c:pt idx="4">
                  <c:v>372</c:v>
                </c:pt>
                <c:pt idx="5">
                  <c:v>365</c:v>
                </c:pt>
                <c:pt idx="6">
                  <c:v>418</c:v>
                </c:pt>
                <c:pt idx="7">
                  <c:v>405</c:v>
                </c:pt>
                <c:pt idx="8">
                  <c:v>384</c:v>
                </c:pt>
                <c:pt idx="9">
                  <c:v>496</c:v>
                </c:pt>
                <c:pt idx="10">
                  <c:v>321</c:v>
                </c:pt>
              </c:numCache>
            </c:numRef>
          </c:val>
          <c:extLst>
            <c:ext xmlns:c16="http://schemas.microsoft.com/office/drawing/2014/chart" uri="{C3380CC4-5D6E-409C-BE32-E72D297353CC}">
              <c16:uniqueId val="{00000002-D452-4F4F-9E08-2A5D7677770C}"/>
            </c:ext>
          </c:extLst>
        </c:ser>
        <c:ser>
          <c:idx val="2"/>
          <c:order val="2"/>
          <c:tx>
            <c:strRef>
              <c:f>Sheet3!$D$1</c:f>
              <c:strCache>
                <c:ptCount val="1"/>
                <c:pt idx="0">
                  <c:v>Sum of math</c:v>
                </c:pt>
              </c:strCache>
            </c:strRef>
          </c:tx>
          <c:spPr>
            <a:solidFill>
              <a:schemeClr val="accent3"/>
            </a:solidFill>
            <a:ln>
              <a:noFill/>
            </a:ln>
            <a:effectLst/>
          </c:spPr>
          <c:invertIfNegative val="0"/>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Sheet3!$D$2:$D$19</c:f>
              <c:numCache>
                <c:formatCode>General</c:formatCode>
                <c:ptCount val="11"/>
                <c:pt idx="0">
                  <c:v>99</c:v>
                </c:pt>
                <c:pt idx="1">
                  <c:v>99</c:v>
                </c:pt>
                <c:pt idx="2">
                  <c:v>99</c:v>
                </c:pt>
                <c:pt idx="3">
                  <c:v>95</c:v>
                </c:pt>
                <c:pt idx="4">
                  <c:v>50</c:v>
                </c:pt>
                <c:pt idx="5">
                  <c:v>39</c:v>
                </c:pt>
                <c:pt idx="6">
                  <c:v>98</c:v>
                </c:pt>
                <c:pt idx="7">
                  <c:v>80</c:v>
                </c:pt>
                <c:pt idx="8">
                  <c:v>90</c:v>
                </c:pt>
                <c:pt idx="9">
                  <c:v>100</c:v>
                </c:pt>
                <c:pt idx="10">
                  <c:v>30</c:v>
                </c:pt>
              </c:numCache>
            </c:numRef>
          </c:val>
          <c:extLst>
            <c:ext xmlns:c16="http://schemas.microsoft.com/office/drawing/2014/chart" uri="{C3380CC4-5D6E-409C-BE32-E72D297353CC}">
              <c16:uniqueId val="{00000008-D452-4F4F-9E08-2A5D7677770C}"/>
            </c:ext>
          </c:extLst>
        </c:ser>
        <c:ser>
          <c:idx val="3"/>
          <c:order val="3"/>
          <c:tx>
            <c:strRef>
              <c:f>Sheet3!$E$1</c:f>
              <c:strCache>
                <c:ptCount val="1"/>
                <c:pt idx="0">
                  <c:v>Sum of phy</c:v>
                </c:pt>
              </c:strCache>
            </c:strRef>
          </c:tx>
          <c:spPr>
            <a:solidFill>
              <a:schemeClr val="accent4"/>
            </a:solidFill>
            <a:ln>
              <a:noFill/>
            </a:ln>
            <a:effectLst/>
          </c:spPr>
          <c:invertIfNegative val="0"/>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Sheet3!$E$2:$E$19</c:f>
              <c:numCache>
                <c:formatCode>General</c:formatCode>
                <c:ptCount val="11"/>
                <c:pt idx="0">
                  <c:v>100</c:v>
                </c:pt>
                <c:pt idx="1">
                  <c:v>90</c:v>
                </c:pt>
                <c:pt idx="2">
                  <c:v>100</c:v>
                </c:pt>
                <c:pt idx="3">
                  <c:v>78</c:v>
                </c:pt>
                <c:pt idx="4">
                  <c:v>60</c:v>
                </c:pt>
                <c:pt idx="5">
                  <c:v>70</c:v>
                </c:pt>
                <c:pt idx="6">
                  <c:v>90</c:v>
                </c:pt>
                <c:pt idx="7">
                  <c:v>70</c:v>
                </c:pt>
                <c:pt idx="8">
                  <c:v>80</c:v>
                </c:pt>
                <c:pt idx="9">
                  <c:v>99</c:v>
                </c:pt>
                <c:pt idx="10">
                  <c:v>56</c:v>
                </c:pt>
              </c:numCache>
            </c:numRef>
          </c:val>
          <c:extLst>
            <c:ext xmlns:c16="http://schemas.microsoft.com/office/drawing/2014/chart" uri="{C3380CC4-5D6E-409C-BE32-E72D297353CC}">
              <c16:uniqueId val="{0000000A-D452-4F4F-9E08-2A5D7677770C}"/>
            </c:ext>
          </c:extLst>
        </c:ser>
        <c:dLbls>
          <c:showLegendKey val="0"/>
          <c:showVal val="0"/>
          <c:showCatName val="0"/>
          <c:showSerName val="0"/>
          <c:showPercent val="0"/>
          <c:showBubbleSize val="0"/>
        </c:dLbls>
        <c:gapWidth val="219"/>
        <c:overlap val="-27"/>
        <c:axId val="1980188192"/>
        <c:axId val="1980191520"/>
      </c:barChart>
      <c:catAx>
        <c:axId val="198018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91520"/>
        <c:crosses val="autoZero"/>
        <c:auto val="1"/>
        <c:lblAlgn val="ctr"/>
        <c:lblOffset val="100"/>
        <c:noMultiLvlLbl val="0"/>
      </c:catAx>
      <c:valAx>
        <c:axId val="198019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8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[class.xlsx]Sheet3!math</c:name>
    <c:fmtId val="1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Sheet3!$B$1</c:f>
              <c:strCache>
                <c:ptCount val="1"/>
                <c:pt idx="0">
                  <c:v>Sum of s.no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Sheet3!$B$2:$B$19</c:f>
              <c:numCache>
                <c:formatCode>General</c:formatCode>
                <c:ptCount val="11"/>
                <c:pt idx="0">
                  <c:v>11</c:v>
                </c:pt>
                <c:pt idx="1">
                  <c:v>4</c:v>
                </c:pt>
                <c:pt idx="2">
                  <c:v>8</c:v>
                </c:pt>
                <c:pt idx="3">
                  <c:v>9</c:v>
                </c:pt>
                <c:pt idx="4">
                  <c:v>3</c:v>
                </c:pt>
                <c:pt idx="5">
                  <c:v>6</c:v>
                </c:pt>
                <c:pt idx="6">
                  <c:v>7</c:v>
                </c:pt>
                <c:pt idx="7">
                  <c:v>2</c:v>
                </c:pt>
                <c:pt idx="8">
                  <c:v>1</c:v>
                </c:pt>
                <c:pt idx="9">
                  <c:v>5</c:v>
                </c:pt>
                <c:pt idx="10">
                  <c:v>10</c:v>
                </c:pt>
              </c:numCache>
            </c:numRef>
          </c:val>
          <c:extLst>
            <c:ext xmlns:c16="http://schemas.microsoft.com/office/drawing/2014/chart" uri="{C3380CC4-5D6E-409C-BE32-E72D297353CC}">
              <c16:uniqueId val="{00000000-EBF7-49EA-A77A-D3F53ECDC6D9}"/>
            </c:ext>
          </c:extLst>
        </c:ser>
        <c:ser>
          <c:idx val="1"/>
          <c:order val="1"/>
          <c:tx>
            <c:strRef>
              <c:f>Sheet3!$C$1</c:f>
              <c:strCache>
                <c:ptCount val="1"/>
                <c:pt idx="0">
                  <c:v>Sum of 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Sheet3!$C$2:$C$19</c:f>
              <c:numCache>
                <c:formatCode>General</c:formatCode>
                <c:ptCount val="11"/>
                <c:pt idx="0">
                  <c:v>447</c:v>
                </c:pt>
                <c:pt idx="1">
                  <c:v>466</c:v>
                </c:pt>
                <c:pt idx="2">
                  <c:v>495</c:v>
                </c:pt>
                <c:pt idx="3">
                  <c:v>385</c:v>
                </c:pt>
                <c:pt idx="4">
                  <c:v>372</c:v>
                </c:pt>
                <c:pt idx="5">
                  <c:v>365</c:v>
                </c:pt>
                <c:pt idx="6">
                  <c:v>418</c:v>
                </c:pt>
                <c:pt idx="7">
                  <c:v>405</c:v>
                </c:pt>
                <c:pt idx="8">
                  <c:v>384</c:v>
                </c:pt>
                <c:pt idx="9">
                  <c:v>496</c:v>
                </c:pt>
                <c:pt idx="10">
                  <c:v>321</c:v>
                </c:pt>
              </c:numCache>
            </c:numRef>
          </c:val>
          <c:extLst>
            <c:ext xmlns:c16="http://schemas.microsoft.com/office/drawing/2014/chart" uri="{C3380CC4-5D6E-409C-BE32-E72D297353CC}">
              <c16:uniqueId val="{00000001-EBF7-49EA-A77A-D3F53ECDC6D9}"/>
            </c:ext>
          </c:extLst>
        </c:ser>
        <c:ser>
          <c:idx val="2"/>
          <c:order val="2"/>
          <c:tx>
            <c:strRef>
              <c:f>Sheet3!$D$1</c:f>
              <c:strCache>
                <c:ptCount val="1"/>
                <c:pt idx="0">
                  <c:v>Sum of math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Sheet3!$D$2:$D$19</c:f>
              <c:numCache>
                <c:formatCode>General</c:formatCode>
                <c:ptCount val="11"/>
                <c:pt idx="0">
                  <c:v>99</c:v>
                </c:pt>
                <c:pt idx="1">
                  <c:v>99</c:v>
                </c:pt>
                <c:pt idx="2">
                  <c:v>99</c:v>
                </c:pt>
                <c:pt idx="3">
                  <c:v>95</c:v>
                </c:pt>
                <c:pt idx="4">
                  <c:v>50</c:v>
                </c:pt>
                <c:pt idx="5">
                  <c:v>39</c:v>
                </c:pt>
                <c:pt idx="6">
                  <c:v>98</c:v>
                </c:pt>
                <c:pt idx="7">
                  <c:v>80</c:v>
                </c:pt>
                <c:pt idx="8">
                  <c:v>90</c:v>
                </c:pt>
                <c:pt idx="9">
                  <c:v>100</c:v>
                </c:pt>
                <c:pt idx="10">
                  <c:v>30</c:v>
                </c:pt>
              </c:numCache>
            </c:numRef>
          </c:val>
          <c:extLst>
            <c:ext xmlns:c16="http://schemas.microsoft.com/office/drawing/2014/chart" uri="{C3380CC4-5D6E-409C-BE32-E72D297353CC}">
              <c16:uniqueId val="{00000003-EBF7-49EA-A77A-D3F53ECDC6D9}"/>
            </c:ext>
          </c:extLst>
        </c:ser>
        <c:ser>
          <c:idx val="3"/>
          <c:order val="3"/>
          <c:tx>
            <c:strRef>
              <c:f>Sheet3!$E$1</c:f>
              <c:strCache>
                <c:ptCount val="1"/>
                <c:pt idx="0">
                  <c:v>Sum of phy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Sheet3!$E$2:$E$19</c:f>
              <c:numCache>
                <c:formatCode>General</c:formatCode>
                <c:ptCount val="11"/>
                <c:pt idx="0">
                  <c:v>100</c:v>
                </c:pt>
                <c:pt idx="1">
                  <c:v>90</c:v>
                </c:pt>
                <c:pt idx="2">
                  <c:v>100</c:v>
                </c:pt>
                <c:pt idx="3">
                  <c:v>78</c:v>
                </c:pt>
                <c:pt idx="4">
                  <c:v>60</c:v>
                </c:pt>
                <c:pt idx="5">
                  <c:v>70</c:v>
                </c:pt>
                <c:pt idx="6">
                  <c:v>90</c:v>
                </c:pt>
                <c:pt idx="7">
                  <c:v>70</c:v>
                </c:pt>
                <c:pt idx="8">
                  <c:v>80</c:v>
                </c:pt>
                <c:pt idx="9">
                  <c:v>99</c:v>
                </c:pt>
                <c:pt idx="10">
                  <c:v>56</c:v>
                </c:pt>
              </c:numCache>
            </c:numRef>
          </c:val>
          <c:extLst>
            <c:ext xmlns:c16="http://schemas.microsoft.com/office/drawing/2014/chart" uri="{C3380CC4-5D6E-409C-BE32-E72D297353CC}">
              <c16:uniqueId val="{00000005-EBF7-49EA-A77A-D3F53ECDC6D9}"/>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[class.xlsx]Sheet3!math</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44094488188977"/>
          <c:y val="0.28384040536599592"/>
          <c:w val="0.34975262467191603"/>
          <c:h val="0.58292104111985998"/>
        </c:manualLayout>
      </c:layout>
      <c:pieChart>
        <c:varyColors val="1"/>
        <c:ser>
          <c:idx val="0"/>
          <c:order val="0"/>
          <c:tx>
            <c:strRef>
              <c:f>Sheet3!$B$1</c:f>
              <c:strCache>
                <c:ptCount val="1"/>
                <c:pt idx="0">
                  <c:v>Sum of s.no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Sheet3!$B$2:$B$19</c:f>
              <c:numCache>
                <c:formatCode>General</c:formatCode>
                <c:ptCount val="11"/>
                <c:pt idx="0">
                  <c:v>11</c:v>
                </c:pt>
                <c:pt idx="1">
                  <c:v>4</c:v>
                </c:pt>
                <c:pt idx="2">
                  <c:v>8</c:v>
                </c:pt>
                <c:pt idx="3">
                  <c:v>9</c:v>
                </c:pt>
                <c:pt idx="4">
                  <c:v>3</c:v>
                </c:pt>
                <c:pt idx="5">
                  <c:v>6</c:v>
                </c:pt>
                <c:pt idx="6">
                  <c:v>7</c:v>
                </c:pt>
                <c:pt idx="7">
                  <c:v>2</c:v>
                </c:pt>
                <c:pt idx="8">
                  <c:v>1</c:v>
                </c:pt>
                <c:pt idx="9">
                  <c:v>5</c:v>
                </c:pt>
                <c:pt idx="10">
                  <c:v>10</c:v>
                </c:pt>
              </c:numCache>
            </c:numRef>
          </c:val>
          <c:extLst>
            <c:ext xmlns:c16="http://schemas.microsoft.com/office/drawing/2014/chart" uri="{C3380CC4-5D6E-409C-BE32-E72D297353CC}">
              <c16:uniqueId val="{00000000-E30A-4171-9C57-74FE0AAA0F9C}"/>
            </c:ext>
          </c:extLst>
        </c:ser>
        <c:ser>
          <c:idx val="1"/>
          <c:order val="1"/>
          <c:tx>
            <c:strRef>
              <c:f>Sheet3!$C$1</c:f>
              <c:strCache>
                <c:ptCount val="1"/>
                <c:pt idx="0">
                  <c:v>Sum of 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Sheet3!$C$2:$C$19</c:f>
              <c:numCache>
                <c:formatCode>General</c:formatCode>
                <c:ptCount val="11"/>
                <c:pt idx="0">
                  <c:v>447</c:v>
                </c:pt>
                <c:pt idx="1">
                  <c:v>466</c:v>
                </c:pt>
                <c:pt idx="2">
                  <c:v>495</c:v>
                </c:pt>
                <c:pt idx="3">
                  <c:v>385</c:v>
                </c:pt>
                <c:pt idx="4">
                  <c:v>372</c:v>
                </c:pt>
                <c:pt idx="5">
                  <c:v>365</c:v>
                </c:pt>
                <c:pt idx="6">
                  <c:v>418</c:v>
                </c:pt>
                <c:pt idx="7">
                  <c:v>405</c:v>
                </c:pt>
                <c:pt idx="8">
                  <c:v>384</c:v>
                </c:pt>
                <c:pt idx="9">
                  <c:v>496</c:v>
                </c:pt>
                <c:pt idx="10">
                  <c:v>321</c:v>
                </c:pt>
              </c:numCache>
            </c:numRef>
          </c:val>
          <c:extLst>
            <c:ext xmlns:c16="http://schemas.microsoft.com/office/drawing/2014/chart" uri="{C3380CC4-5D6E-409C-BE32-E72D297353CC}">
              <c16:uniqueId val="{00000001-E30A-4171-9C57-74FE0AAA0F9C}"/>
            </c:ext>
          </c:extLst>
        </c:ser>
        <c:ser>
          <c:idx val="2"/>
          <c:order val="2"/>
          <c:tx>
            <c:strRef>
              <c:f>Sheet3!$D$1</c:f>
              <c:strCache>
                <c:ptCount val="1"/>
                <c:pt idx="0">
                  <c:v>Sum of math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Sheet3!$D$2:$D$19</c:f>
              <c:numCache>
                <c:formatCode>General</c:formatCode>
                <c:ptCount val="11"/>
                <c:pt idx="0">
                  <c:v>99</c:v>
                </c:pt>
                <c:pt idx="1">
                  <c:v>99</c:v>
                </c:pt>
                <c:pt idx="2">
                  <c:v>99</c:v>
                </c:pt>
                <c:pt idx="3">
                  <c:v>95</c:v>
                </c:pt>
                <c:pt idx="4">
                  <c:v>50</c:v>
                </c:pt>
                <c:pt idx="5">
                  <c:v>39</c:v>
                </c:pt>
                <c:pt idx="6">
                  <c:v>98</c:v>
                </c:pt>
                <c:pt idx="7">
                  <c:v>80</c:v>
                </c:pt>
                <c:pt idx="8">
                  <c:v>90</c:v>
                </c:pt>
                <c:pt idx="9">
                  <c:v>100</c:v>
                </c:pt>
                <c:pt idx="10">
                  <c:v>30</c:v>
                </c:pt>
              </c:numCache>
            </c:numRef>
          </c:val>
          <c:extLst>
            <c:ext xmlns:c16="http://schemas.microsoft.com/office/drawing/2014/chart" uri="{C3380CC4-5D6E-409C-BE32-E72D297353CC}">
              <c16:uniqueId val="{00000003-E30A-4171-9C57-74FE0AAA0F9C}"/>
            </c:ext>
          </c:extLst>
        </c:ser>
        <c:ser>
          <c:idx val="3"/>
          <c:order val="3"/>
          <c:tx>
            <c:strRef>
              <c:f>Sheet3!$E$1</c:f>
              <c:strCache>
                <c:ptCount val="1"/>
                <c:pt idx="0">
                  <c:v>Sum of phy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multiLvlStrRef>
              <c:f>Sheet3!$A$2:$A$19</c:f>
              <c:multiLvlStrCache>
                <c:ptCount val="11"/>
                <c:lvl>
                  <c:pt idx="0">
                    <c:v>shashi</c:v>
                  </c:pt>
                  <c:pt idx="1">
                    <c:v>varsha</c:v>
                  </c:pt>
                  <c:pt idx="2">
                    <c:v>nirmal</c:v>
                  </c:pt>
                  <c:pt idx="3">
                    <c:v>anu</c:v>
                  </c:pt>
                  <c:pt idx="4">
                    <c:v>peter</c:v>
                  </c:pt>
                  <c:pt idx="5">
                    <c:v>ganga</c:v>
                  </c:pt>
                  <c:pt idx="6">
                    <c:v>meera</c:v>
                  </c:pt>
                  <c:pt idx="7">
                    <c:v>yamuna</c:v>
                  </c:pt>
                  <c:pt idx="8">
                    <c:v>arun</c:v>
                  </c:pt>
                  <c:pt idx="9">
                    <c:v>jeff</c:v>
                  </c:pt>
                  <c:pt idx="10">
                    <c:v>priya</c:v>
                  </c:pt>
                </c:lvl>
                <c:lvl>
                  <c:pt idx="0">
                    <c:v>aids</c:v>
                  </c:pt>
                  <c:pt idx="2">
                    <c:v>aiml</c:v>
                  </c:pt>
                  <c:pt idx="3">
                    <c:v>cce</c:v>
                  </c:pt>
                  <c:pt idx="5">
                    <c:v>cse</c:v>
                  </c:pt>
                  <c:pt idx="6">
                    <c:v>ece</c:v>
                  </c:pt>
                  <c:pt idx="8">
                    <c:v>eee</c:v>
                  </c:pt>
                </c:lvl>
              </c:multiLvlStrCache>
            </c:multiLvlStrRef>
          </c:cat>
          <c:val>
            <c:numRef>
              <c:f>Sheet3!$E$2:$E$19</c:f>
              <c:numCache>
                <c:formatCode>General</c:formatCode>
                <c:ptCount val="11"/>
                <c:pt idx="0">
                  <c:v>100</c:v>
                </c:pt>
                <c:pt idx="1">
                  <c:v>90</c:v>
                </c:pt>
                <c:pt idx="2">
                  <c:v>100</c:v>
                </c:pt>
                <c:pt idx="3">
                  <c:v>78</c:v>
                </c:pt>
                <c:pt idx="4">
                  <c:v>60</c:v>
                </c:pt>
                <c:pt idx="5">
                  <c:v>70</c:v>
                </c:pt>
                <c:pt idx="6">
                  <c:v>90</c:v>
                </c:pt>
                <c:pt idx="7">
                  <c:v>70</c:v>
                </c:pt>
                <c:pt idx="8">
                  <c:v>80</c:v>
                </c:pt>
                <c:pt idx="9">
                  <c:v>99</c:v>
                </c:pt>
                <c:pt idx="10">
                  <c:v>56</c:v>
                </c:pt>
              </c:numCache>
            </c:numRef>
          </c:val>
          <c:extLst>
            <c:ext xmlns:c16="http://schemas.microsoft.com/office/drawing/2014/chart" uri="{C3380CC4-5D6E-409C-BE32-E72D297353CC}">
              <c16:uniqueId val="{00000005-E30A-4171-9C57-74FE0AAA0F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6DEBB29-7F39-458E-AD82-2A5E70294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175260</xdr:colOff>
      <xdr:row>2</xdr:row>
      <xdr:rowOff>80010</xdr:rowOff>
    </xdr:from>
    <xdr:to>
      <xdr:col>18</xdr:col>
      <xdr:colOff>480060</xdr:colOff>
      <xdr:row>17</xdr:row>
      <xdr:rowOff>80010</xdr:rowOff>
    </xdr:to>
    <xdr:graphicFrame macro="">
      <xdr:nvGraphicFramePr>
        <xdr:cNvPr id="3" name="Chart 2">
          <a:extLst>
            <a:ext uri="{FF2B5EF4-FFF2-40B4-BE49-F238E27FC236}">
              <a16:creationId xmlns:a16="http://schemas.microsoft.com/office/drawing/2014/main" id="{9DC052A3-F890-4CB6-A6DB-57906CD5A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106680</xdr:colOff>
      <xdr:row>17</xdr:row>
      <xdr:rowOff>110490</xdr:rowOff>
    </xdr:from>
    <xdr:to>
      <xdr:col>17</xdr:col>
      <xdr:colOff>411480</xdr:colOff>
      <xdr:row>32</xdr:row>
      <xdr:rowOff>110490</xdr:rowOff>
    </xdr:to>
    <xdr:graphicFrame macro="">
      <xdr:nvGraphicFramePr>
        <xdr:cNvPr id="4" name="Chart 3">
          <a:extLst>
            <a:ext uri="{FF2B5EF4-FFF2-40B4-BE49-F238E27FC236}">
              <a16:creationId xmlns:a16="http://schemas.microsoft.com/office/drawing/2014/main" id="{5FF309E7-B3D7-47D4-AFF4-0F23D5CE1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30480</xdr:colOff>
      <xdr:row>16</xdr:row>
      <xdr:rowOff>91440</xdr:rowOff>
    </xdr:from>
    <xdr:to>
      <xdr:col>5</xdr:col>
      <xdr:colOff>312420</xdr:colOff>
      <xdr:row>51</xdr:row>
      <xdr:rowOff>36195</xdr:rowOff>
    </xdr:to>
    <mc:AlternateContent xmlns:mc="http://schemas.openxmlformats.org/markup-compatibility/2006">
      <mc:Choice xmlns:a14="http://schemas.microsoft.com/office/drawing/2010/main" Requires="a14">
        <xdr:graphicFrame macro="">
          <xdr:nvGraphicFramePr>
            <xdr:cNvPr id="6" name="dept">
              <a:extLst>
                <a:ext uri="{FF2B5EF4-FFF2-40B4-BE49-F238E27FC236}">
                  <a16:creationId xmlns:a16="http://schemas.microsoft.com/office/drawing/2014/main" id="{79DEB04A-6E7B-4E84-9603-2B0C93814FFC}"/>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2423160" y="2971800"/>
              <a:ext cx="1828800" cy="6345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563880</xdr:colOff>
      <xdr:row>7</xdr:row>
      <xdr:rowOff>144780</xdr:rowOff>
    </xdr:from>
    <xdr:to>
      <xdr:col>9</xdr:col>
      <xdr:colOff>228600</xdr:colOff>
      <xdr:row>21</xdr:row>
      <xdr:rowOff>51435</xdr:rowOff>
    </xdr:to>
    <mc:AlternateContent xmlns:mc="http://schemas.openxmlformats.org/markup-compatibility/2006">
      <mc:Choice xmlns:a14="http://schemas.microsoft.com/office/drawing/2010/main" Requires="a14">
        <xdr:graphicFrame macro="">
          <xdr:nvGraphicFramePr>
            <xdr:cNvPr id="7" name="stud name">
              <a:extLst>
                <a:ext uri="{FF2B5EF4-FFF2-40B4-BE49-F238E27FC236}">
                  <a16:creationId xmlns:a16="http://schemas.microsoft.com/office/drawing/2014/main" id="{2F3378C0-982E-48EA-9616-8B15FDE42ECC}"/>
                </a:ext>
              </a:extLst>
            </xdr:cNvPr>
            <xdr:cNvGraphicFramePr/>
          </xdr:nvGraphicFramePr>
          <xdr:xfrm>
            <a:off x="0" y="0"/>
            <a:ext cx="0" cy="0"/>
          </xdr:xfrm>
          <a:graphic>
            <a:graphicData uri="http://schemas.microsoft.com/office/drawing/2010/slicer">
              <sle:slicer xmlns:sle="http://schemas.microsoft.com/office/drawing/2010/slicer" name="stud name"/>
            </a:graphicData>
          </a:graphic>
        </xdr:graphicFrame>
      </mc:Choice>
      <mc:Fallback>
        <xdr:sp macro="" textlink="">
          <xdr:nvSpPr>
            <xdr:cNvPr id="0" name=""/>
            <xdr:cNvSpPr>
              <a:spLocks noTextEdit="1"/>
            </xdr:cNvSpPr>
          </xdr:nvSpPr>
          <xdr:spPr>
            <a:xfrm>
              <a:off x="528066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6.482788541667" createdVersion="7" refreshedVersion="7" minRefreshableVersion="3" recordCount="11" xr:uid="{B2CD8C2A-6524-4969-8617-5AE57E3970DF}">
  <cacheSource type="worksheet">
    <worksheetSource ref="A1:L12" sheet="Sheet1"/>
  </cacheSource>
  <cacheFields count="12">
    <cacheField name="s.no" numFmtId="0">
      <sharedItems containsSemiMixedTypes="0" containsString="0" containsNumber="1" containsInteger="1" minValue="1" maxValue="11"/>
    </cacheField>
    <cacheField name="stud name" numFmtId="0">
      <sharedItems count="11">
        <s v="arun"/>
        <s v="yamuna"/>
        <s v="peter"/>
        <s v="varsha"/>
        <s v="jeff"/>
        <s v="ganga"/>
        <s v="meera"/>
        <s v="nirmal"/>
        <s v="anu"/>
        <s v="priya"/>
        <s v="shashi"/>
      </sharedItems>
    </cacheField>
    <cacheField name="dept" numFmtId="0">
      <sharedItems count="6">
        <s v="eee"/>
        <s v="ece"/>
        <s v="cce"/>
        <s v="aids"/>
        <s v="cse"/>
        <s v="aiml"/>
      </sharedItems>
    </cacheField>
    <cacheField name="math" numFmtId="0">
      <sharedItems containsSemiMixedTypes="0" containsString="0" containsNumber="1" containsInteger="1" minValue="30" maxValue="100"/>
    </cacheField>
    <cacheField name="phy" numFmtId="0">
      <sharedItems containsSemiMixedTypes="0" containsString="0" containsNumber="1" containsInteger="1" minValue="56" maxValue="100"/>
    </cacheField>
    <cacheField name="programming" numFmtId="0">
      <sharedItems containsSemiMixedTypes="0" containsString="0" containsNumber="1" containsInteger="1" minValue="50" maxValue="100"/>
    </cacheField>
    <cacheField name="eng. Dawinng" numFmtId="0">
      <sharedItems containsSemiMixedTypes="0" containsString="0" containsNumber="1" containsInteger="1" minValue="50" maxValue="98"/>
    </cacheField>
    <cacheField name="eng" numFmtId="0">
      <sharedItems containsSemiMixedTypes="0" containsString="0" containsNumber="1" containsInteger="1" minValue="55" maxValue="100"/>
    </cacheField>
    <cacheField name="total" numFmtId="0">
      <sharedItems containsSemiMixedTypes="0" containsString="0" containsNumber="1" containsInteger="1" minValue="321" maxValue="496"/>
    </cacheField>
    <cacheField name="avg" numFmtId="0">
      <sharedItems containsSemiMixedTypes="0" containsString="0" containsNumber="1" minValue="64.2" maxValue="99.2"/>
    </cacheField>
    <cacheField name="result" numFmtId="0">
      <sharedItems containsBlank="1"/>
    </cacheField>
    <cacheField name="performance" numFmtId="0">
      <sharedItems containsNonDate="0" containsString="0" containsBlank="1"/>
    </cacheField>
  </cacheFields>
  <extLst>
    <ext xmlns:x14="http://schemas.microsoft.com/office/spreadsheetml/2009/9/main" uri="{725AE2AE-9491-48be-B2B4-4EB974FC3084}">
      <x14:pivotCacheDefinition pivotCacheId="1704110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
    <x v="0"/>
    <x v="0"/>
    <n v="90"/>
    <n v="80"/>
    <n v="77"/>
    <n v="60"/>
    <n v="77"/>
    <n v="384"/>
    <n v="76.8"/>
    <s v="pass"/>
    <m/>
  </r>
  <r>
    <n v="2"/>
    <x v="1"/>
    <x v="1"/>
    <n v="80"/>
    <n v="70"/>
    <n v="87"/>
    <n v="70"/>
    <n v="98"/>
    <n v="405"/>
    <n v="81"/>
    <m/>
    <m/>
  </r>
  <r>
    <n v="3"/>
    <x v="2"/>
    <x v="2"/>
    <n v="50"/>
    <n v="60"/>
    <n v="98"/>
    <n v="77"/>
    <n v="87"/>
    <n v="372"/>
    <n v="74.400000000000006"/>
    <m/>
    <m/>
  </r>
  <r>
    <n v="4"/>
    <x v="3"/>
    <x v="3"/>
    <n v="99"/>
    <n v="90"/>
    <n v="99"/>
    <n v="80"/>
    <n v="98"/>
    <n v="466"/>
    <n v="93.2"/>
    <m/>
    <m/>
  </r>
  <r>
    <n v="5"/>
    <x v="4"/>
    <x v="0"/>
    <n v="100"/>
    <n v="99"/>
    <n v="100"/>
    <n v="98"/>
    <n v="99"/>
    <n v="496"/>
    <n v="99.2"/>
    <m/>
    <m/>
  </r>
  <r>
    <n v="6"/>
    <x v="5"/>
    <x v="4"/>
    <n v="39"/>
    <n v="70"/>
    <n v="78"/>
    <n v="89"/>
    <n v="89"/>
    <n v="365"/>
    <n v="73"/>
    <m/>
    <m/>
  </r>
  <r>
    <n v="7"/>
    <x v="6"/>
    <x v="1"/>
    <n v="98"/>
    <n v="90"/>
    <n v="98"/>
    <n v="77"/>
    <n v="55"/>
    <n v="418"/>
    <n v="83.6"/>
    <m/>
    <m/>
  </r>
  <r>
    <n v="8"/>
    <x v="7"/>
    <x v="5"/>
    <n v="99"/>
    <n v="100"/>
    <n v="99"/>
    <n v="98"/>
    <n v="99"/>
    <n v="495"/>
    <n v="99"/>
    <m/>
    <m/>
  </r>
  <r>
    <n v="9"/>
    <x v="8"/>
    <x v="2"/>
    <n v="95"/>
    <n v="78"/>
    <n v="50"/>
    <n v="87"/>
    <n v="75"/>
    <n v="385"/>
    <n v="77"/>
    <m/>
    <m/>
  </r>
  <r>
    <n v="10"/>
    <x v="9"/>
    <x v="0"/>
    <n v="30"/>
    <n v="56"/>
    <n v="60"/>
    <n v="97"/>
    <n v="78"/>
    <n v="321"/>
    <n v="64.2"/>
    <m/>
    <m/>
  </r>
  <r>
    <n v="11"/>
    <x v="10"/>
    <x v="3"/>
    <n v="99"/>
    <n v="100"/>
    <n v="98"/>
    <n v="50"/>
    <n v="100"/>
    <n v="447"/>
    <n v="89.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EE687-F3B2-46F4-9DC1-83653D9AFF9E}" name="math"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1:E19" firstHeaderRow="0" firstDataRow="1" firstDataCol="1"/>
  <pivotFields count="12">
    <pivotField dataField="1" showAll="0"/>
    <pivotField axis="axisRow" showAll="0">
      <items count="12">
        <item x="8"/>
        <item x="0"/>
        <item x="5"/>
        <item x="4"/>
        <item x="6"/>
        <item x="7"/>
        <item x="2"/>
        <item x="9"/>
        <item x="10"/>
        <item x="3"/>
        <item x="1"/>
        <item t="default"/>
      </items>
    </pivotField>
    <pivotField axis="axisRow" showAll="0">
      <items count="7">
        <item x="3"/>
        <item x="5"/>
        <item x="2"/>
        <item x="4"/>
        <item x="1"/>
        <item x="0"/>
        <item t="default"/>
      </items>
    </pivotField>
    <pivotField dataField="1" showAll="0"/>
    <pivotField dataField="1" showAll="0"/>
    <pivotField showAll="0"/>
    <pivotField showAll="0"/>
    <pivotField showAll="0"/>
    <pivotField dataField="1" showAll="0"/>
    <pivotField showAll="0"/>
    <pivotField showAll="0"/>
    <pivotField showAll="0"/>
  </pivotFields>
  <rowFields count="2">
    <field x="2"/>
    <field x="1"/>
  </rowFields>
  <rowItems count="18">
    <i>
      <x/>
    </i>
    <i r="1">
      <x v="8"/>
    </i>
    <i r="1">
      <x v="9"/>
    </i>
    <i>
      <x v="1"/>
    </i>
    <i r="1">
      <x v="5"/>
    </i>
    <i>
      <x v="2"/>
    </i>
    <i r="1">
      <x/>
    </i>
    <i r="1">
      <x v="6"/>
    </i>
    <i>
      <x v="3"/>
    </i>
    <i r="1">
      <x v="2"/>
    </i>
    <i>
      <x v="4"/>
    </i>
    <i r="1">
      <x v="4"/>
    </i>
    <i r="1">
      <x v="10"/>
    </i>
    <i>
      <x v="5"/>
    </i>
    <i r="1">
      <x v="1"/>
    </i>
    <i r="1">
      <x v="3"/>
    </i>
    <i r="1">
      <x v="7"/>
    </i>
    <i t="grand">
      <x/>
    </i>
  </rowItems>
  <colFields count="1">
    <field x="-2"/>
  </colFields>
  <colItems count="4">
    <i>
      <x/>
    </i>
    <i i="1">
      <x v="1"/>
    </i>
    <i i="2">
      <x v="2"/>
    </i>
    <i i="3">
      <x v="3"/>
    </i>
  </colItems>
  <dataFields count="4">
    <dataField name="Sum of s.no" fld="0" baseField="0" baseItem="0"/>
    <dataField name="Sum of total" fld="8" baseField="0" baseItem="0"/>
    <dataField name="Sum of math" fld="3" baseField="0" baseItem="0"/>
    <dataField name="Sum of phy" fld="4" baseField="0" baseItem="0"/>
  </dataFields>
  <chartFormats count="12">
    <chartFormat chart="0" format="0"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1" format="2" series="1">
      <pivotArea type="data" outline="0" fieldPosition="0">
        <references count="1">
          <reference field="4294967294" count="1" selected="0">
            <x v="2"/>
          </reference>
        </references>
      </pivotArea>
    </chartFormat>
    <chartFormat chart="0" format="7" series="1">
      <pivotArea type="data" outline="0" fieldPosition="0">
        <references count="1">
          <reference field="4294967294" count="1" selected="0">
            <x v="2"/>
          </reference>
        </references>
      </pivotArea>
    </chartFormat>
    <chartFormat chart="16" format="4"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3764B60B-8752-4CC2-BAA1-B4E3D943003F}" sourceName="dept">
  <pivotTables>
    <pivotTable tabId="3" name="math"/>
  </pivotTables>
  <data>
    <tabular pivotCacheId="1704110924">
      <items count="6">
        <i x="3" s="1"/>
        <i x="5"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_name" xr10:uid="{972D99EA-9EE6-4264-9119-BAC8B5FC1D87}" sourceName="stud name">
  <pivotTables>
    <pivotTable tabId="3" name="math"/>
  </pivotTables>
  <data>
    <tabular pivotCacheId="1704110924">
      <items count="11">
        <i x="8" s="1"/>
        <i x="0" s="1"/>
        <i x="5" s="1"/>
        <i x="4" s="1"/>
        <i x="6" s="1"/>
        <i x="7" s="1"/>
        <i x="2" s="1"/>
        <i x="9" s="1"/>
        <i x="1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71E88A1F-2039-40F8-9E87-5A56983605A8}" cache="Slicer_dept" caption="dept" rowHeight="234950"/>
  <slicer name="stud name" xr10:uid="{8E47204D-1C47-4AB8-AC8E-D7474C64EF49}" cache="Slicer_stud_name" caption="stud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5407-8D22-481D-98BC-EFA743BF7EAD}">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5E57-013D-4DEC-9729-5CF9E7AFE5AD}">
  <dimension ref="A1:E19"/>
  <sheetViews>
    <sheetView tabSelected="1" workbookViewId="0">
      <selection activeCell="T2" sqref="T2"/>
    </sheetView>
  </sheetViews>
  <sheetFormatPr defaultRowHeight="14.4" x14ac:dyDescent="0.3"/>
  <cols>
    <col min="1" max="1" width="12.5546875" bestFit="1" customWidth="1"/>
    <col min="2" max="2" width="11" bestFit="1" customWidth="1"/>
    <col min="3" max="3" width="11.33203125" bestFit="1" customWidth="1"/>
    <col min="4" max="4" width="11.88671875" bestFit="1" customWidth="1"/>
    <col min="5" max="5" width="10.6640625" bestFit="1" customWidth="1"/>
    <col min="6" max="8" width="11.33203125" bestFit="1" customWidth="1"/>
  </cols>
  <sheetData>
    <row r="1" spans="1:5" ht="10.8" customHeight="1" x14ac:dyDescent="0.3">
      <c r="A1" s="2" t="s">
        <v>31</v>
      </c>
      <c r="B1" t="s">
        <v>30</v>
      </c>
      <c r="C1" t="s">
        <v>35</v>
      </c>
      <c r="D1" t="s">
        <v>33</v>
      </c>
      <c r="E1" t="s">
        <v>34</v>
      </c>
    </row>
    <row r="2" spans="1:5" x14ac:dyDescent="0.3">
      <c r="A2" s="3" t="s">
        <v>21</v>
      </c>
      <c r="B2" s="1">
        <v>15</v>
      </c>
      <c r="C2" s="1">
        <v>913</v>
      </c>
      <c r="D2" s="1">
        <v>198</v>
      </c>
      <c r="E2" s="1">
        <v>190</v>
      </c>
    </row>
    <row r="3" spans="1:5" x14ac:dyDescent="0.3">
      <c r="A3" s="4" t="s">
        <v>28</v>
      </c>
      <c r="B3" s="1">
        <v>11</v>
      </c>
      <c r="C3" s="1">
        <v>447</v>
      </c>
      <c r="D3" s="1">
        <v>99</v>
      </c>
      <c r="E3" s="1">
        <v>100</v>
      </c>
    </row>
    <row r="4" spans="1:5" x14ac:dyDescent="0.3">
      <c r="A4" s="4" t="s">
        <v>15</v>
      </c>
      <c r="B4" s="1">
        <v>4</v>
      </c>
      <c r="C4" s="1">
        <v>466</v>
      </c>
      <c r="D4" s="1">
        <v>99</v>
      </c>
      <c r="E4" s="1">
        <v>90</v>
      </c>
    </row>
    <row r="5" spans="1:5" x14ac:dyDescent="0.3">
      <c r="A5" s="3" t="s">
        <v>23</v>
      </c>
      <c r="B5" s="1">
        <v>8</v>
      </c>
      <c r="C5" s="1">
        <v>495</v>
      </c>
      <c r="D5" s="1">
        <v>99</v>
      </c>
      <c r="E5" s="1">
        <v>100</v>
      </c>
    </row>
    <row r="6" spans="1:5" x14ac:dyDescent="0.3">
      <c r="A6" s="4" t="s">
        <v>17</v>
      </c>
      <c r="B6" s="1">
        <v>8</v>
      </c>
      <c r="C6" s="1">
        <v>495</v>
      </c>
      <c r="D6" s="1">
        <v>99</v>
      </c>
      <c r="E6" s="1">
        <v>100</v>
      </c>
    </row>
    <row r="7" spans="1:5" x14ac:dyDescent="0.3">
      <c r="A7" s="3" t="s">
        <v>20</v>
      </c>
      <c r="B7" s="1">
        <v>12</v>
      </c>
      <c r="C7" s="1">
        <v>757</v>
      </c>
      <c r="D7" s="1">
        <v>145</v>
      </c>
      <c r="E7" s="1">
        <v>138</v>
      </c>
    </row>
    <row r="8" spans="1:5" x14ac:dyDescent="0.3">
      <c r="A8" s="4" t="s">
        <v>24</v>
      </c>
      <c r="B8" s="1">
        <v>9</v>
      </c>
      <c r="C8" s="1">
        <v>385</v>
      </c>
      <c r="D8" s="1">
        <v>95</v>
      </c>
      <c r="E8" s="1">
        <v>78</v>
      </c>
    </row>
    <row r="9" spans="1:5" x14ac:dyDescent="0.3">
      <c r="A9" s="4" t="s">
        <v>14</v>
      </c>
      <c r="B9" s="1">
        <v>3</v>
      </c>
      <c r="C9" s="1">
        <v>372</v>
      </c>
      <c r="D9" s="1">
        <v>50</v>
      </c>
      <c r="E9" s="1">
        <v>60</v>
      </c>
    </row>
    <row r="10" spans="1:5" x14ac:dyDescent="0.3">
      <c r="A10" s="3" t="s">
        <v>22</v>
      </c>
      <c r="B10" s="1">
        <v>6</v>
      </c>
      <c r="C10" s="1">
        <v>365</v>
      </c>
      <c r="D10" s="1">
        <v>39</v>
      </c>
      <c r="E10" s="1">
        <v>70</v>
      </c>
    </row>
    <row r="11" spans="1:5" x14ac:dyDescent="0.3">
      <c r="A11" s="4" t="s">
        <v>26</v>
      </c>
      <c r="B11" s="1">
        <v>6</v>
      </c>
      <c r="C11" s="1">
        <v>365</v>
      </c>
      <c r="D11" s="1">
        <v>39</v>
      </c>
      <c r="E11" s="1">
        <v>70</v>
      </c>
    </row>
    <row r="12" spans="1:5" x14ac:dyDescent="0.3">
      <c r="A12" s="3" t="s">
        <v>19</v>
      </c>
      <c r="B12" s="1">
        <v>9</v>
      </c>
      <c r="C12" s="1">
        <v>823</v>
      </c>
      <c r="D12" s="1">
        <v>178</v>
      </c>
      <c r="E12" s="1">
        <v>160</v>
      </c>
    </row>
    <row r="13" spans="1:5" x14ac:dyDescent="0.3">
      <c r="A13" s="4" t="s">
        <v>27</v>
      </c>
      <c r="B13" s="1">
        <v>7</v>
      </c>
      <c r="C13" s="1">
        <v>418</v>
      </c>
      <c r="D13" s="1">
        <v>98</v>
      </c>
      <c r="E13" s="1">
        <v>90</v>
      </c>
    </row>
    <row r="14" spans="1:5" x14ac:dyDescent="0.3">
      <c r="A14" s="4" t="s">
        <v>13</v>
      </c>
      <c r="B14" s="1">
        <v>2</v>
      </c>
      <c r="C14" s="1">
        <v>405</v>
      </c>
      <c r="D14" s="1">
        <v>80</v>
      </c>
      <c r="E14" s="1">
        <v>70</v>
      </c>
    </row>
    <row r="15" spans="1:5" x14ac:dyDescent="0.3">
      <c r="A15" s="3" t="s">
        <v>18</v>
      </c>
      <c r="B15" s="1">
        <v>16</v>
      </c>
      <c r="C15" s="1">
        <v>1201</v>
      </c>
      <c r="D15" s="1">
        <v>220</v>
      </c>
      <c r="E15" s="1">
        <v>235</v>
      </c>
    </row>
    <row r="16" spans="1:5" x14ac:dyDescent="0.3">
      <c r="A16" s="4" t="s">
        <v>12</v>
      </c>
      <c r="B16" s="1">
        <v>1</v>
      </c>
      <c r="C16" s="1">
        <v>384</v>
      </c>
      <c r="D16" s="1">
        <v>90</v>
      </c>
      <c r="E16" s="1">
        <v>80</v>
      </c>
    </row>
    <row r="17" spans="1:5" x14ac:dyDescent="0.3">
      <c r="A17" s="4" t="s">
        <v>16</v>
      </c>
      <c r="B17" s="1">
        <v>5</v>
      </c>
      <c r="C17" s="1">
        <v>496</v>
      </c>
      <c r="D17" s="1">
        <v>100</v>
      </c>
      <c r="E17" s="1">
        <v>99</v>
      </c>
    </row>
    <row r="18" spans="1:5" x14ac:dyDescent="0.3">
      <c r="A18" s="4" t="s">
        <v>25</v>
      </c>
      <c r="B18" s="1">
        <v>10</v>
      </c>
      <c r="C18" s="1">
        <v>321</v>
      </c>
      <c r="D18" s="1">
        <v>30</v>
      </c>
      <c r="E18" s="1">
        <v>56</v>
      </c>
    </row>
    <row r="19" spans="1:5" x14ac:dyDescent="0.3">
      <c r="A19" s="3" t="s">
        <v>32</v>
      </c>
      <c r="B19" s="1">
        <v>66</v>
      </c>
      <c r="C19" s="1">
        <v>4554</v>
      </c>
      <c r="D19" s="1">
        <v>879</v>
      </c>
      <c r="E19" s="1">
        <v>893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F518-777E-4B3B-8324-5A39092BA37B}">
  <dimension ref="A1:L12"/>
  <sheetViews>
    <sheetView workbookViewId="0">
      <selection activeCell="K2" sqref="K2"/>
    </sheetView>
  </sheetViews>
  <sheetFormatPr defaultRowHeight="14.4" x14ac:dyDescent="0.3"/>
  <cols>
    <col min="2" max="2" width="15.33203125" customWidth="1"/>
    <col min="6" max="6" width="15.88671875" customWidth="1"/>
    <col min="7" max="7" width="13.88671875" customWidth="1"/>
    <col min="12" max="12" width="12.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18</v>
      </c>
      <c r="D2">
        <v>90</v>
      </c>
      <c r="E2">
        <v>80</v>
      </c>
      <c r="F2">
        <v>77</v>
      </c>
      <c r="G2">
        <v>60</v>
      </c>
      <c r="H2">
        <v>77</v>
      </c>
      <c r="I2">
        <f>SUM(D2:H2)</f>
        <v>384</v>
      </c>
      <c r="J2">
        <f>AVERAGE(D2:H2)</f>
        <v>76.8</v>
      </c>
      <c r="K2" t="s">
        <v>29</v>
      </c>
    </row>
    <row r="3" spans="1:12" x14ac:dyDescent="0.3">
      <c r="A3">
        <v>2</v>
      </c>
      <c r="B3" t="s">
        <v>13</v>
      </c>
      <c r="C3" t="s">
        <v>19</v>
      </c>
      <c r="D3">
        <v>80</v>
      </c>
      <c r="E3">
        <v>70</v>
      </c>
      <c r="F3">
        <v>87</v>
      </c>
      <c r="G3">
        <v>70</v>
      </c>
      <c r="H3">
        <v>98</v>
      </c>
      <c r="I3">
        <f>SUM(D3:H3)</f>
        <v>405</v>
      </c>
      <c r="J3">
        <f t="shared" ref="J3:J12" si="0">AVERAGE(D3:H3)</f>
        <v>81</v>
      </c>
    </row>
    <row r="4" spans="1:12" x14ac:dyDescent="0.3">
      <c r="A4">
        <v>3</v>
      </c>
      <c r="B4" t="s">
        <v>14</v>
      </c>
      <c r="C4" t="s">
        <v>20</v>
      </c>
      <c r="D4">
        <v>50</v>
      </c>
      <c r="E4">
        <v>60</v>
      </c>
      <c r="F4">
        <v>98</v>
      </c>
      <c r="G4">
        <v>77</v>
      </c>
      <c r="H4">
        <v>87</v>
      </c>
      <c r="I4">
        <f>SUM(D4:H4)</f>
        <v>372</v>
      </c>
      <c r="J4">
        <f t="shared" si="0"/>
        <v>74.400000000000006</v>
      </c>
    </row>
    <row r="5" spans="1:12" x14ac:dyDescent="0.3">
      <c r="A5">
        <v>4</v>
      </c>
      <c r="B5" t="s">
        <v>15</v>
      </c>
      <c r="C5" t="s">
        <v>21</v>
      </c>
      <c r="D5">
        <v>99</v>
      </c>
      <c r="E5">
        <v>90</v>
      </c>
      <c r="F5">
        <v>99</v>
      </c>
      <c r="G5">
        <v>80</v>
      </c>
      <c r="H5">
        <v>98</v>
      </c>
      <c r="I5">
        <f>SUM(D5:H5)</f>
        <v>466</v>
      </c>
      <c r="J5">
        <f t="shared" si="0"/>
        <v>93.2</v>
      </c>
    </row>
    <row r="6" spans="1:12" x14ac:dyDescent="0.3">
      <c r="A6">
        <v>5</v>
      </c>
      <c r="B6" t="s">
        <v>16</v>
      </c>
      <c r="C6" t="s">
        <v>18</v>
      </c>
      <c r="D6">
        <v>100</v>
      </c>
      <c r="E6">
        <v>99</v>
      </c>
      <c r="F6">
        <v>100</v>
      </c>
      <c r="G6">
        <v>98</v>
      </c>
      <c r="H6">
        <v>99</v>
      </c>
      <c r="I6">
        <f>SUM(D6:H6)</f>
        <v>496</v>
      </c>
      <c r="J6">
        <f t="shared" si="0"/>
        <v>99.2</v>
      </c>
    </row>
    <row r="7" spans="1:12" x14ac:dyDescent="0.3">
      <c r="A7">
        <v>6</v>
      </c>
      <c r="B7" t="s">
        <v>26</v>
      </c>
      <c r="C7" t="s">
        <v>22</v>
      </c>
      <c r="D7">
        <v>39</v>
      </c>
      <c r="E7">
        <v>70</v>
      </c>
      <c r="F7">
        <v>78</v>
      </c>
      <c r="G7">
        <v>89</v>
      </c>
      <c r="H7">
        <v>89</v>
      </c>
      <c r="I7">
        <f>SUM(D7:H7)</f>
        <v>365</v>
      </c>
      <c r="J7">
        <f t="shared" si="0"/>
        <v>73</v>
      </c>
    </row>
    <row r="8" spans="1:12" x14ac:dyDescent="0.3">
      <c r="A8">
        <v>7</v>
      </c>
      <c r="B8" t="s">
        <v>27</v>
      </c>
      <c r="C8" t="s">
        <v>19</v>
      </c>
      <c r="D8">
        <v>98</v>
      </c>
      <c r="E8">
        <v>90</v>
      </c>
      <c r="F8">
        <v>98</v>
      </c>
      <c r="G8">
        <v>77</v>
      </c>
      <c r="H8">
        <v>55</v>
      </c>
      <c r="I8">
        <f>SUM(C8:H8)</f>
        <v>418</v>
      </c>
      <c r="J8">
        <f t="shared" si="0"/>
        <v>83.6</v>
      </c>
    </row>
    <row r="9" spans="1:12" x14ac:dyDescent="0.3">
      <c r="A9">
        <v>8</v>
      </c>
      <c r="B9" t="s">
        <v>17</v>
      </c>
      <c r="C9" t="s">
        <v>23</v>
      </c>
      <c r="D9">
        <v>99</v>
      </c>
      <c r="E9">
        <v>100</v>
      </c>
      <c r="F9">
        <v>99</v>
      </c>
      <c r="G9">
        <v>98</v>
      </c>
      <c r="H9">
        <v>99</v>
      </c>
      <c r="I9">
        <f>SUM(D9:H9)</f>
        <v>495</v>
      </c>
      <c r="J9">
        <f t="shared" si="0"/>
        <v>99</v>
      </c>
    </row>
    <row r="10" spans="1:12" x14ac:dyDescent="0.3">
      <c r="A10">
        <v>9</v>
      </c>
      <c r="B10" t="s">
        <v>24</v>
      </c>
      <c r="C10" t="s">
        <v>20</v>
      </c>
      <c r="D10">
        <v>95</v>
      </c>
      <c r="E10">
        <v>78</v>
      </c>
      <c r="F10">
        <v>50</v>
      </c>
      <c r="G10">
        <v>87</v>
      </c>
      <c r="H10">
        <v>75</v>
      </c>
      <c r="I10">
        <f>SUM(D10:H10)</f>
        <v>385</v>
      </c>
      <c r="J10">
        <f t="shared" si="0"/>
        <v>77</v>
      </c>
    </row>
    <row r="11" spans="1:12" x14ac:dyDescent="0.3">
      <c r="A11">
        <v>10</v>
      </c>
      <c r="B11" t="s">
        <v>25</v>
      </c>
      <c r="C11" t="s">
        <v>18</v>
      </c>
      <c r="D11">
        <v>30</v>
      </c>
      <c r="E11">
        <v>56</v>
      </c>
      <c r="F11">
        <v>60</v>
      </c>
      <c r="G11">
        <v>97</v>
      </c>
      <c r="H11">
        <v>78</v>
      </c>
      <c r="I11">
        <f>SUM(D11:H11)</f>
        <v>321</v>
      </c>
      <c r="J11">
        <f t="shared" si="0"/>
        <v>64.2</v>
      </c>
    </row>
    <row r="12" spans="1:12" x14ac:dyDescent="0.3">
      <c r="A12">
        <v>11</v>
      </c>
      <c r="B12" t="s">
        <v>28</v>
      </c>
      <c r="C12" t="s">
        <v>21</v>
      </c>
      <c r="D12">
        <v>99</v>
      </c>
      <c r="E12">
        <v>100</v>
      </c>
      <c r="F12">
        <v>98</v>
      </c>
      <c r="G12">
        <v>50</v>
      </c>
      <c r="H12">
        <v>100</v>
      </c>
      <c r="I12">
        <f>SUM(D12:H12)</f>
        <v>447</v>
      </c>
      <c r="J12">
        <f t="shared" si="0"/>
        <v>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2026-09-11T04:32:31Z</dcterms:created>
  <dcterms:modified xsi:type="dcterms:W3CDTF">2026-09-11T06:51:19Z</dcterms:modified>
</cp:coreProperties>
</file>